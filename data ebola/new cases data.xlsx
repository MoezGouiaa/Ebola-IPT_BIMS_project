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<sst xmlns="http://schemas.openxmlformats.org/spreadsheetml/2006/main" count="17" uniqueCount="17">
  <si>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Date</t>
  </si>
  <si>
    <t xml:space="preserve">Confirmed_cases</t>
  </si>
  <si>
    <t xml:space="preserve">Suspected_cases</t>
  </si>
  <si>
    <t xml:space="preserve">Suspected_deaths</t>
  </si>
  <si>
    <t xml:space="preserve">Confirmed_deaths</t>
  </si>
  <si>
    <t xml:space="preserve">Contacts_listed</t>
  </si>
  <si>
    <t xml:space="preserve">16/05/2026</t>
  </si>
  <si>
    <t xml:space="preserve">17/05/2026</t>
  </si>
  <si>
    <t xml:space="preserve">18/05/2026</t>
  </si>
  <si>
    <t xml:space="preserve">19/05/2026</t>
  </si>
  <si>
    <t xml:space="preserve">20/05/2026</t>
  </si>
  <si>
    <t xml:space="preserve">21/05/2026</t>
  </si>
  <si>
    <t xml:space="preserve">22/05/2026</t>
  </si>
  <si>
    <t xml:space="preserve">23/05/2026</t>
  </si>
  <si>
    <t xml:space="preserve">24/05/2026</t>
  </si>
  <si>
    <t xml:space="preserve">25/05/2026</t>
  </si>
  <si>
    <t xml:space="preserve">26/05/2026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</si>
</sst>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L4" activeCellId="0" sqref="L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2.4"/>
    <col collapsed="false" customWidth="true" hidden="false" outlineLevel="0" max="3" min="3" style="1" width="17.67"/>
    <col collapsed="false" customWidth="true" hidden="false" outlineLevel="0" max="4" min="4" style="1" width="17.95"/>
    <col collapsed="false" customWidth="true" hidden="false" outlineLevel="0" max="6" min="5" style="1" width="19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D2" s="1" t="n">
        <v>105</v>
      </c>
    </row>
    <row r="3" customFormat="false" ht="12.8" hidden="false" customHeight="false" outlineLevel="0" collapsed="false">
      <c r="A3" s="1" t="s">
        <v>7</v>
      </c>
      <c r="D3" s="1" t="n">
        <f aca="false">105</f>
        <v>105</v>
      </c>
    </row>
    <row r="4" customFormat="false" ht="12.8" hidden="false" customHeight="false" outlineLevel="0" collapsed="false">
      <c r="A4" s="1" t="s">
        <v>8</v>
      </c>
      <c r="B4" s="1" t="n">
        <v>8</v>
      </c>
      <c r="C4" s="1" t="n">
        <v>393</v>
      </c>
      <c r="D4" s="1" t="n">
        <v>105</v>
      </c>
      <c r="E4" s="1" t="n">
        <v>3</v>
      </c>
      <c r="F4" s="1" t="n">
        <v>668</v>
      </c>
    </row>
    <row r="5" customFormat="false" ht="12.8" hidden="false" customHeight="false" outlineLevel="0" collapsed="false">
      <c r="A5" s="1" t="s">
        <v>9</v>
      </c>
      <c r="B5" s="1" t="n">
        <f aca="false">35</f>
        <v>35</v>
      </c>
      <c r="C5" s="1" t="n">
        <f aca="false">516</f>
        <v>516</v>
      </c>
      <c r="D5" s="1" t="n">
        <f aca="false">132</f>
        <v>132</v>
      </c>
      <c r="E5" s="1" t="n">
        <f aca="false">1+E4</f>
        <v>4</v>
      </c>
      <c r="F5" s="1" t="n">
        <v>668</v>
      </c>
    </row>
    <row r="6" customFormat="false" ht="12.8" hidden="false" customHeight="false" outlineLevel="0" collapsed="false">
      <c r="A6" s="1" t="s">
        <v>10</v>
      </c>
      <c r="B6" s="1" t="n">
        <f aca="false">15+B5</f>
        <v>50</v>
      </c>
      <c r="C6" s="1" t="n">
        <f aca="false">85+C5</f>
        <v>601</v>
      </c>
      <c r="D6" s="1" t="n">
        <f aca="false">18+D5</f>
        <v>150</v>
      </c>
      <c r="E6" s="1" t="n">
        <f aca="false">1+E5</f>
        <v>5</v>
      </c>
      <c r="F6" s="1" t="n">
        <f aca="false">306+F5</f>
        <v>974</v>
      </c>
    </row>
    <row r="7" customFormat="false" ht="12.8" hidden="false" customHeight="false" outlineLevel="0" collapsed="false">
      <c r="A7" s="1" t="s">
        <v>11</v>
      </c>
      <c r="B7" s="1" t="n">
        <f aca="false">15+B6</f>
        <v>65</v>
      </c>
      <c r="C7" s="1" t="n">
        <f aca="false">85+C6</f>
        <v>686</v>
      </c>
      <c r="D7" s="1" t="n">
        <f aca="false">18+D6</f>
        <v>168</v>
      </c>
      <c r="E7" s="1" t="n">
        <f aca="false">2+E6</f>
        <v>7</v>
      </c>
      <c r="F7" s="1" t="n">
        <f aca="false">257+F6</f>
        <v>1231</v>
      </c>
    </row>
    <row r="8" customFormat="false" ht="12.8" hidden="false" customHeight="false" outlineLevel="0" collapsed="false">
      <c r="A8" s="1" t="s">
        <v>12</v>
      </c>
      <c r="B8" s="1" t="n">
        <f aca="false">15+B7</f>
        <v>80</v>
      </c>
      <c r="C8" s="1" t="n">
        <f aca="false">85+C7</f>
        <v>771</v>
      </c>
      <c r="D8" s="1" t="n">
        <f aca="false">18+D7</f>
        <v>186</v>
      </c>
      <c r="E8" s="1" t="n">
        <f aca="false">2+E7</f>
        <v>9</v>
      </c>
      <c r="F8" s="1" t="n">
        <f aca="false">257+F7</f>
        <v>1488</v>
      </c>
    </row>
    <row r="9" customFormat="false" ht="12.8" hidden="false" customHeight="false" outlineLevel="0" collapsed="false">
      <c r="A9" s="1" t="s">
        <v>13</v>
      </c>
      <c r="B9" s="1" t="n">
        <f aca="false">16+B8</f>
        <v>96</v>
      </c>
      <c r="C9" s="1" t="n">
        <f aca="false">95+C8</f>
        <v>866</v>
      </c>
      <c r="D9" s="1" t="n">
        <f aca="false">16+D8</f>
        <v>202</v>
      </c>
      <c r="E9" s="1" t="n">
        <f aca="false">1+E8</f>
        <v>10</v>
      </c>
      <c r="F9" s="1" t="n">
        <f aca="false">257+F8</f>
        <v>1745</v>
      </c>
    </row>
    <row r="10" customFormat="false" ht="12.8" hidden="false" customHeight="false" outlineLevel="0" collapsed="false">
      <c r="A10" s="1" t="s">
        <v>14</v>
      </c>
      <c r="B10" s="1" t="n">
        <f aca="false">12+B9</f>
        <v>108</v>
      </c>
      <c r="C10" s="1" t="n">
        <f aca="false">37+C9</f>
        <v>903</v>
      </c>
      <c r="D10" s="1" t="n">
        <v>202</v>
      </c>
      <c r="E10" s="1" t="n">
        <f aca="false">1+E9</f>
        <v>11</v>
      </c>
      <c r="F10" s="1" t="n">
        <f aca="false">72+F9</f>
        <v>1817</v>
      </c>
    </row>
    <row r="11" customFormat="false" ht="12.8" hidden="false" customHeight="false" outlineLevel="0" collapsed="false">
      <c r="A11" s="1" t="s">
        <v>15</v>
      </c>
      <c r="B11" s="1" t="n">
        <f aca="false">4+B10</f>
        <v>112</v>
      </c>
      <c r="C11" s="1" t="n">
        <f aca="false">3+C10</f>
        <v>906</v>
      </c>
      <c r="D11" s="1" t="n">
        <f aca="false">21+D10</f>
        <v>223</v>
      </c>
      <c r="E11" s="1" t="n">
        <v>11</v>
      </c>
      <c r="F11" s="1" t="n">
        <f aca="false">414+F10</f>
        <v>2231</v>
      </c>
    </row>
    <row r="12" customFormat="false" ht="12.8" hidden="false" customHeight="false" outlineLevel="0" collapsed="false">
      <c r="A12" s="1" t="s">
        <v>16</v>
      </c>
      <c r="B12" s="1" t="n">
        <v>112</v>
      </c>
      <c r="C12" s="1" t="n">
        <f aca="false">92+C11</f>
        <v>998</v>
      </c>
      <c r="D12" s="1" t="n">
        <f aca="false">15+D11</f>
        <v>238</v>
      </c>
      <c r="E12" s="1" t="n">
        <v>13</v>
      </c>
      <c r="F12" s="1" t="n">
        <v>2231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2026-06-05T10:45:53Z</dcterms:created>
  <dc:creator/>
  <dc:description/>
  <dc:language>en-US</dc:language>
  <cp:lastModifiedBy/>
  <dcterms:modified xsi:type="dcterms:W3CDTF">2026-06-09T14:21:19Z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